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3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Library/CloudStorage/GoogleDrive-varuna@mapup.ai/Shared drives/common/Hiring-Common/December-2023/Dzone-Hiring/"/>
    </mc:Choice>
  </mc:AlternateContent>
  <xr:revisionPtr revIDLastSave="314" documentId="13_ncr:1_{48EB4397-F178-E54E-B28D-22A41FCA72D2}" xr6:coauthVersionLast="47" xr6:coauthVersionMax="47" xr10:uidLastSave="{09E392F3-4E6D-40BC-B147-3C1738EA564B}"/>
  <bookViews>
    <workbookView xWindow="0" yWindow="500" windowWidth="29400" windowHeight="16300" tabRatio="849" firstSheet="6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  <sheet name="GPT cache" sheetId="23" state="veryHidden" r:id="rId8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6" i="20" l="1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C22" i="19" a="1"/>
  <c r="C22" i="19"/>
  <c r="B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16" i="16"/>
  <c r="E16" i="16"/>
  <c r="D16" i="16"/>
  <c r="C16" i="16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6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7" i="18"/>
  <c r="C8" i="18"/>
  <c r="C9" i="18"/>
  <c r="C10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<sst xmlns="http://schemas.openxmlformats.org/spreadsheetml/2006/main" count="342" uniqueCount="195">
  <si>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</si>
  <si>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</si>
  <si>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</si>
  <si>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</si>
  <si>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</si>
  <si>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</si>
  <si>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</si>
  <si>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</si>
  <si>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</si>
  <si>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</si>
  <si>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</si>
  <si>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</si>
  <si>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</si>
  <si>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</si>
  <si>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</si>
  <si>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</si>
  <si>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</si>
  <si>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</si>
  <si>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</si>
  <si>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</si>
  <si>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</si>
  <si>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</si>
  <si>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</si>
  <si>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</si>
  <si>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</si>
  <si>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</si>
  <si>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</si>
  <si>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</si>
  <si>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</si>
  <si>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</si>
  <si>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</si>
  <si>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</si>
  <si>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</si>
  <si>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</si>
  <si>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</si>
  <si>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</si>
  <si>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</si>
  <si>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</si>
  <si>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</si>
  <si>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</si>
  <si>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</si>
  <si>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</si>
  <si>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</si>
  <si>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</si>
  <si>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</si>
  <si>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</si>
  <si>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</si>
  <si>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</si>
  <si>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</si>
  <si>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</si>
  <si>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</si>
  <si>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</si>
  <si>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</si>
  <si>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</si>
  <si>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</si>
  <si>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</si>
  <si>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</si>
  <si>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</si>
  <si>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</si>
  <si>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</si>
  <si>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</si>
  <si>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</si>
  <si>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</si>
  <si>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</si>
  <si>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</si>
  <si>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</si>
  <si>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</si>
  <si>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</si>
  <si>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</si>
  <si>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</si>
  <si>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</si>
  <si>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</si>
  <si>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</si>
  <si>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</si>
  <si>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</si>
  <si>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</si>
  <si>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</si>
  <si>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</si>
  <si>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</si>
  <si>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sum of all value&gt;20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</si>
  <si>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</si>
  <si>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</si>
  <si>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</si>
  <si>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</si>
  <si>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</si>
  <si>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</si>
  <si>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</si>
  <si>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</si>
  <si>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</si>
  <si>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Please paste formula used here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</si>
  <si>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</si>
  <si>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</si>
  <si>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</si>
  <si>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</si>
  <si>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</si>
  <si>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</si>
  <si>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</si>
  <si>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</si>
  <si>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</si>
  <si>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</si>
  <si>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here trim, mid , find formula is used..</t>
  </si>
  <si>
    <t>Explanation:</t>
  </si>
  <si>
    <t>here trim is used form trimming the value in cell according cell no after it see value in start and mid after that - is find over their it add +1 and -1 for it .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</si>
  <si>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</si>
  <si>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</si>
  <si>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</si>
  <si>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</si>
  <si>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</si>
  <si>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</si>
  <si>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</si>
  <si>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</si>
  <si>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</si>
  <si>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</si>
  <si>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</si>
  <si>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</si>
  <si>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</si>
  <si>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</si>
  <si>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</si>
  <si>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</si>
  <si>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</si>
  <si>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</si>
  <si>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</si>
  <si>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</si>
  <si>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</si>
  <si>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</si>
  <si>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</si>
  <si>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</si>
  <si>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</si>
  <si>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</si>
  <si>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</si>
  <si>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</si>
  <si>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</si>
  <si>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</si>
  <si>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</si>
  <si>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</si>
  <si>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</si>
  <si>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</si>
  <si>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</si>
  <si>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</si>
  <si>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</si>
  <si>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</si>
  <si>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</si>
  <si>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</si>
  <si>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</si>
  <si>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</si>
  <si>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</si>
  <si>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</si>
  <si>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</si>
  <si>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</si>
  <si>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</si>
  <si>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</si>
  <si>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</si>
  <si>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here sum ,if ,is ,na is used</t>
  </si>
  <si>
    <t>first it will sum all the value in it after that if condition is used for n/a  if it find n/a in between replace it by 20 here: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</si>
  <si>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</si>
  <si>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</si>
  <si>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</si>
  <si>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</si>
  <si>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</si>
  <si>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</si>
  <si>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</si>
  <si>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</si>
  <si>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</si>
  <si>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</si>
  <si>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</si>
  <si>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</si>
  <si>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</si>
  <si>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</si>
  <si>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</si>
  <si>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here index and matching formula is usedfor find the vale in cell</t>
  </si>
  <si>
    <t>(=INDEX(B10:J18,MATCH(H24,A10:A18,0),MATCH(H25,B9:J9,0)))</t>
  </si>
  <si>
    <t>here first we have made values index of range in table a and table b with cell and by using match futn we are retriving the values bi matrix difference: HERE MADE COLUMN AND ROW AS Data validation :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</si>
  <si>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</si>
  <si>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</si>
  <si>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</si>
  <si>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</si>
  <si>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</si>
  <si>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</si>
  <si>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</si>
  <si>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</si>
  <si>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</si>
  <si>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</si>
  <si>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</si>
  <si>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</si>
  <si>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</si>
  <si>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</si>
  <si>
    <t>DISTANCE</t>
  </si>
  <si>
    <t>WHAT IS THE DISTANCE:</t>
  </si>
  <si>
    <t>from ROW name</t>
  </si>
  <si>
    <t xml:space="preserve">from to COLUMN </t>
  </si>
  <si>
    <t>vaiues</t>
  </si>
  <si>
    <t>{"hash":"8b4874a577fd6dc527ae9a6ce8dd846597631df4fa3225d5180a853ae6bc3c54","version":1,"value":"[[\"Woyera\"],[\"Barclays\"],[\"Deloitte Touche Tohmatsu\"],[\"Infosys\"],[\"GlaxoSmithKline Pharma\"],[\"Accor\"],[\"Apple\"],[\"Bloomberg\"],[\"Your Company\"]]"}</t>
  </si>
  <si>
    <t>{"hash":"0f0e55e197fb7d893ad50e0d2e9473ad37e2171c3b29f4c931176b4de65c2bee","version":1,"value":"[[\"\"],[\"Barclays\"],[\"Deloitte Touche Tohmatsu\"],[\"Infosys\"],[\"GlaxoSmithKline Pharma\"],[\"\"],[\"\"],[\"Bloomberg\"],[\"Your Company\"]]"}</t>
  </si>
  <si>
    <t>{"hash":"3cfe6d0d5ebf588069c8971323cb5d9cdf02ecf9779429e8220f7ce242f133d3","version":1,"value":"[[\"\"],[\"Barclays\"],[\"Deloitte Touche Tohmatsu\"],[\"Infosys\"],[\"GlaxoSmithKline Pharma\"],[\"Accor\"],[\"\"],[\"Bloomberg\"],[\"Your Company\"]]"}</t>
  </si>
  <si>
    <t>{"hash":"091eeaf50a83e8badc553138ec050ef823f4536f1d21e661cf9598d6c5daf5af","version":1,"value":"[[\"\"],[\"Barclays\"],[\"Deloitte Touche Tohmatsu\"],[\"Infosys\"],[\"GlaxoSmithKline Pharma\"],[\"Accor\"],[\"Apple\"],[\"Bloomberg\"],[\"Your Company\"]]"}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</si>
</sst>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3" fillId="6" borderId="0" xfId="0" applyFont="1" applyFill="1" applyAlignment="1">
      <alignment wrapText="1"/>
    </xf>
    <xf numFmtId="166" fontId="7" fillId="0" borderId="0" xfId="0" applyNumberFormat="1" applyFont="1"/>
    <xf numFmtId="166" fontId="3" fillId="0" borderId="0" xfId="0" applyNumberFormat="1" applyFont="1"/>
    <xf numFmtId="0" fontId="8" fillId="0" borderId="1" xfId="0" quotePrefix="1" applyFont="1" applyBorder="1"/>
    <xf numFmtId="0" fontId="8" fillId="0" borderId="3" xfId="0" applyFont="1" applyBorder="1" applyAlignment="1">
      <alignment wrapText="1"/>
    </xf>
    <xf numFmtId="0" fontId="8" fillId="7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2D050"/>
      </font>
    </dxf>
    <dxf>
      <font>
        <color rgb="FFFF0000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4C1DA18-451C-41A0-AF31-191F610A9C84}">
  <we:reference id="wa200005502" version="1.0.0.9" store="en-US" storeType="omex"/>
  <we:alternateReferences>
    <we:reference id="wa200005502" version="1.0.0.9" store="en-US" storeType="omex"/>
  </we:alternateReferences>
  <we:properties>
    <we:property name="docId" value="&quot;EEriKY8fV9FDraU2Ord5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8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5" t="s">
        <v>6</v>
      </c>
      <c r="B9" s="25" t="s">
        <v>7</v>
      </c>
    </row>
    <row r="10" spans="1:3">
      <c r="A10" s="34" t="s">
        <v>8</v>
      </c>
      <c r="B10" s="36">
        <v>25</v>
      </c>
    </row>
    <row r="11" spans="1:3">
      <c r="A11" s="34" t="s">
        <v>9</v>
      </c>
      <c r="B11" s="36">
        <v>30</v>
      </c>
    </row>
    <row r="12" spans="1:3">
      <c r="A12" s="34" t="s">
        <v>10</v>
      </c>
      <c r="B12" s="36">
        <v>10</v>
      </c>
    </row>
    <row r="13" spans="1:3">
      <c r="A13" s="34" t="s">
        <v>11</v>
      </c>
      <c r="B13" s="36">
        <v>20</v>
      </c>
    </row>
    <row r="14" spans="1:3">
      <c r="A14" s="34" t="s">
        <v>12</v>
      </c>
      <c r="B14" s="36">
        <v>40</v>
      </c>
    </row>
    <row r="15" spans="1:3">
      <c r="A15" s="37" t="s">
        <v>13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6" activePane="bottomLeft" state="frozen"/>
      <selection pane="bottomLeft" activeCell="N1" sqref="N1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7" width="19.5" style="1" customWidth="1"/>
    <col min="8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3" style="45" bestFit="1" customWidth="1"/>
    <col min="25" max="16384" width="9" style="1"/>
  </cols>
  <sheetData>
    <row r="1" spans="1:24" s="3" customFormat="1" ht="14.85" customHeight="1">
      <c r="A1" s="26" t="s">
        <v>14</v>
      </c>
      <c r="B1" s="26" t="s">
        <v>15</v>
      </c>
      <c r="C1" s="26" t="s">
        <v>16</v>
      </c>
      <c r="D1" s="27" t="s">
        <v>17</v>
      </c>
      <c r="E1" s="26" t="s">
        <v>18</v>
      </c>
      <c r="F1" s="27" t="s">
        <v>19</v>
      </c>
      <c r="G1" s="28" t="s">
        <v>20</v>
      </c>
      <c r="H1" s="28" t="s">
        <v>21</v>
      </c>
      <c r="I1" s="28" t="s">
        <v>22</v>
      </c>
      <c r="J1" s="29" t="s">
        <v>23</v>
      </c>
      <c r="K1" s="29" t="s">
        <v>24</v>
      </c>
      <c r="L1" s="29" t="s">
        <v>25</v>
      </c>
      <c r="M1" s="28" t="s">
        <v>26</v>
      </c>
      <c r="N1" s="28" t="s">
        <v>27</v>
      </c>
      <c r="O1" s="28" t="s">
        <v>28</v>
      </c>
      <c r="P1" s="29" t="s">
        <v>29</v>
      </c>
      <c r="Q1" s="29" t="s">
        <v>30</v>
      </c>
      <c r="R1" s="29" t="s">
        <v>31</v>
      </c>
      <c r="S1" s="28" t="s">
        <v>32</v>
      </c>
      <c r="T1" s="28" t="s">
        <v>33</v>
      </c>
      <c r="U1" s="29" t="s">
        <v>34</v>
      </c>
      <c r="V1" s="29" t="s">
        <v>35</v>
      </c>
      <c r="W1" s="29" t="s">
        <v>36</v>
      </c>
      <c r="X1" s="44" t="s">
        <v>37</v>
      </c>
    </row>
    <row r="2" spans="1:24">
      <c r="A2" s="1" t="s">
        <v>38</v>
      </c>
      <c r="B2" s="1">
        <v>20000</v>
      </c>
      <c r="C2" s="1" t="s">
        <v>39</v>
      </c>
      <c r="D2" s="23">
        <v>0</v>
      </c>
      <c r="E2" s="1" t="s">
        <v>40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>
      <c r="A3" s="1" t="s">
        <v>41</v>
      </c>
      <c r="B3" s="1">
        <v>20002</v>
      </c>
      <c r="C3" s="1" t="s">
        <v>39</v>
      </c>
      <c r="D3" s="23">
        <v>0</v>
      </c>
      <c r="E3" s="1" t="s">
        <v>40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>
      <c r="A4" s="1" t="s">
        <v>42</v>
      </c>
      <c r="B4" s="1">
        <v>20004</v>
      </c>
      <c r="C4" s="1" t="s">
        <v>39</v>
      </c>
      <c r="D4" s="23">
        <v>0</v>
      </c>
      <c r="E4" s="1" t="s">
        <v>40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>
      <c r="A5" s="1" t="s">
        <v>43</v>
      </c>
      <c r="B5" s="1">
        <v>20006</v>
      </c>
      <c r="C5" s="1" t="s">
        <v>39</v>
      </c>
      <c r="D5" s="23">
        <v>0</v>
      </c>
      <c r="E5" s="1" t="s">
        <v>40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>
      <c r="A6" s="1" t="s">
        <v>44</v>
      </c>
      <c r="B6" s="1">
        <v>20008</v>
      </c>
      <c r="C6" s="1" t="s">
        <v>39</v>
      </c>
      <c r="D6" s="23">
        <v>0</v>
      </c>
      <c r="E6" s="1" t="s">
        <v>40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>
      <c r="A7" s="1" t="s">
        <v>45</v>
      </c>
      <c r="B7" s="1">
        <v>20010</v>
      </c>
      <c r="C7" s="1" t="s">
        <v>39</v>
      </c>
      <c r="D7" s="23">
        <v>0</v>
      </c>
      <c r="E7" s="1" t="s">
        <v>40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>
      <c r="A8" s="1" t="s">
        <v>46</v>
      </c>
      <c r="B8" s="1">
        <v>20012</v>
      </c>
      <c r="C8" s="1" t="s">
        <v>39</v>
      </c>
      <c r="D8" s="23">
        <v>0</v>
      </c>
      <c r="E8" s="1" t="s">
        <v>40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>
      <c r="A9" s="1" t="s">
        <v>47</v>
      </c>
      <c r="B9" s="1">
        <v>20014</v>
      </c>
      <c r="C9" s="1" t="s">
        <v>39</v>
      </c>
      <c r="D9" s="23">
        <v>0</v>
      </c>
      <c r="E9" s="1" t="s">
        <v>40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>
      <c r="A10" s="1" t="s">
        <v>48</v>
      </c>
      <c r="B10" s="1">
        <v>20016</v>
      </c>
      <c r="C10" s="1" t="s">
        <v>39</v>
      </c>
      <c r="D10" s="23">
        <v>0</v>
      </c>
      <c r="E10" s="1" t="s">
        <v>40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>
      <c r="A11" s="1" t="s">
        <v>49</v>
      </c>
      <c r="B11" s="1">
        <v>20018</v>
      </c>
      <c r="C11" s="1" t="s">
        <v>39</v>
      </c>
      <c r="D11" s="23">
        <v>0</v>
      </c>
      <c r="E11" s="1" t="s">
        <v>40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>
      <c r="A12" s="1" t="s">
        <v>50</v>
      </c>
      <c r="B12" s="1">
        <v>20020</v>
      </c>
      <c r="C12" s="1" t="s">
        <v>39</v>
      </c>
      <c r="D12" s="23">
        <v>0</v>
      </c>
      <c r="E12" s="1" t="s">
        <v>40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>
      <c r="A13" s="1" t="s">
        <v>51</v>
      </c>
      <c r="B13" s="1">
        <v>20022</v>
      </c>
      <c r="C13" s="1" t="s">
        <v>39</v>
      </c>
      <c r="D13" s="23">
        <v>0</v>
      </c>
      <c r="E13" s="1" t="s">
        <v>40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>
      <c r="A14" s="1" t="s">
        <v>52</v>
      </c>
      <c r="B14" s="1">
        <v>20024</v>
      </c>
      <c r="C14" s="1" t="s">
        <v>39</v>
      </c>
      <c r="D14" s="23">
        <v>0</v>
      </c>
      <c r="E14" s="1" t="s">
        <v>40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>
      <c r="A15" s="1" t="s">
        <v>53</v>
      </c>
      <c r="B15" s="1">
        <v>20026</v>
      </c>
      <c r="C15" s="1" t="s">
        <v>39</v>
      </c>
      <c r="D15" s="23">
        <v>0</v>
      </c>
      <c r="E15" s="1" t="s">
        <v>40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>
      <c r="A16" s="1" t="s">
        <v>54</v>
      </c>
      <c r="B16" s="1">
        <v>20028</v>
      </c>
      <c r="C16" s="1" t="s">
        <v>39</v>
      </c>
      <c r="D16" s="23">
        <v>0</v>
      </c>
      <c r="E16" s="1" t="s">
        <v>40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>
      <c r="A17" s="1" t="s">
        <v>55</v>
      </c>
      <c r="B17" s="1">
        <v>20030</v>
      </c>
      <c r="C17" s="1" t="s">
        <v>39</v>
      </c>
      <c r="D17" s="23">
        <v>0</v>
      </c>
      <c r="E17" s="1" t="s">
        <v>40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>
      <c r="A18" s="1" t="s">
        <v>56</v>
      </c>
      <c r="B18" s="1">
        <v>20032</v>
      </c>
      <c r="C18" s="1" t="s">
        <v>39</v>
      </c>
      <c r="D18" s="23">
        <v>0</v>
      </c>
      <c r="E18" s="1" t="s">
        <v>40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>
      <c r="A19" s="1" t="s">
        <v>57</v>
      </c>
      <c r="B19" s="1">
        <v>20034</v>
      </c>
      <c r="C19" s="1" t="s">
        <v>39</v>
      </c>
      <c r="D19" s="23">
        <v>0</v>
      </c>
      <c r="E19" s="1" t="s">
        <v>40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>
      <c r="A20" s="1" t="s">
        <v>58</v>
      </c>
      <c r="B20" s="1">
        <v>20036</v>
      </c>
      <c r="C20" s="1" t="s">
        <v>39</v>
      </c>
      <c r="D20" s="23">
        <v>0</v>
      </c>
      <c r="E20" s="1" t="s">
        <v>40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>
      <c r="A21" s="1" t="s">
        <v>59</v>
      </c>
      <c r="B21" s="1">
        <v>20038</v>
      </c>
      <c r="C21" s="1" t="s">
        <v>39</v>
      </c>
      <c r="D21" s="23">
        <v>0</v>
      </c>
      <c r="E21" s="1" t="s">
        <v>40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>
      <c r="A22" s="1" t="s">
        <v>60</v>
      </c>
      <c r="B22" s="1">
        <v>20040</v>
      </c>
      <c r="C22" s="1" t="s">
        <v>39</v>
      </c>
      <c r="D22" s="23">
        <v>0</v>
      </c>
      <c r="E22" s="1" t="s">
        <v>40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>
      <c r="A23" s="1" t="s">
        <v>61</v>
      </c>
      <c r="B23" s="1">
        <v>20042</v>
      </c>
      <c r="C23" s="1" t="s">
        <v>39</v>
      </c>
      <c r="D23" s="23">
        <v>0</v>
      </c>
      <c r="E23" s="1" t="s">
        <v>40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>
      <c r="A24" s="1" t="s">
        <v>62</v>
      </c>
      <c r="B24" s="1">
        <v>20044</v>
      </c>
      <c r="C24" s="1" t="s">
        <v>39</v>
      </c>
      <c r="D24" s="23">
        <v>0</v>
      </c>
      <c r="E24" s="1" t="s">
        <v>40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>
      <c r="A25" s="1" t="s">
        <v>63</v>
      </c>
      <c r="B25" s="1">
        <v>20046</v>
      </c>
      <c r="C25" s="1" t="s">
        <v>39</v>
      </c>
      <c r="D25" s="23">
        <v>0</v>
      </c>
      <c r="E25" s="1" t="s">
        <v>40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>
      <c r="A26" s="1" t="s">
        <v>64</v>
      </c>
      <c r="B26" s="1">
        <v>20048</v>
      </c>
      <c r="C26" s="1" t="s">
        <v>39</v>
      </c>
      <c r="D26" s="23">
        <v>0</v>
      </c>
      <c r="E26" s="1" t="s">
        <v>40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>
      <c r="A27" s="1" t="s">
        <v>65</v>
      </c>
      <c r="B27" s="1">
        <v>20050</v>
      </c>
      <c r="C27" s="1" t="s">
        <v>39</v>
      </c>
      <c r="D27" s="23">
        <v>0</v>
      </c>
      <c r="E27" s="1" t="s">
        <v>40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>
      <c r="A28" s="1" t="s">
        <v>66</v>
      </c>
      <c r="B28" s="1">
        <v>20052</v>
      </c>
      <c r="C28" s="1" t="s">
        <v>39</v>
      </c>
      <c r="D28" s="23">
        <v>0</v>
      </c>
      <c r="E28" s="1" t="s">
        <v>40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>
      <c r="A29" s="1" t="s">
        <v>67</v>
      </c>
      <c r="B29" s="1">
        <v>20054</v>
      </c>
      <c r="C29" s="1" t="s">
        <v>39</v>
      </c>
      <c r="D29" s="23">
        <v>0</v>
      </c>
      <c r="E29" s="1" t="s">
        <v>40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>
      <c r="A30" s="1" t="s">
        <v>68</v>
      </c>
      <c r="B30" s="1">
        <v>20058</v>
      </c>
      <c r="C30" s="1" t="s">
        <v>39</v>
      </c>
      <c r="D30" s="23">
        <v>0</v>
      </c>
      <c r="E30" s="1" t="s">
        <v>40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>
      <c r="A31" s="1" t="s">
        <v>69</v>
      </c>
      <c r="B31" s="1">
        <v>20060</v>
      </c>
      <c r="C31" s="1" t="s">
        <v>39</v>
      </c>
      <c r="D31" s="23">
        <v>0</v>
      </c>
      <c r="E31" s="1" t="s">
        <v>40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>
      <c r="A32" s="1" t="s">
        <v>70</v>
      </c>
      <c r="B32" s="1">
        <v>21000</v>
      </c>
      <c r="C32" s="1" t="s">
        <v>39</v>
      </c>
      <c r="D32" s="23">
        <v>0</v>
      </c>
      <c r="E32" s="1" t="s">
        <v>40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>
      <c r="A33" s="1" t="s">
        <v>71</v>
      </c>
      <c r="B33" s="1">
        <v>21002</v>
      </c>
      <c r="C33" s="1" t="s">
        <v>39</v>
      </c>
      <c r="D33" s="23">
        <v>0</v>
      </c>
      <c r="E33" s="1" t="s">
        <v>40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>
      <c r="A34" s="1" t="s">
        <v>72</v>
      </c>
      <c r="B34" s="1">
        <v>21004</v>
      </c>
      <c r="C34" s="1" t="s">
        <v>39</v>
      </c>
      <c r="D34" s="23">
        <v>0</v>
      </c>
      <c r="E34" s="1" t="s">
        <v>40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>
      <c r="A35" s="1" t="s">
        <v>73</v>
      </c>
      <c r="B35" s="1">
        <v>21006</v>
      </c>
      <c r="C35" s="1" t="s">
        <v>39</v>
      </c>
      <c r="D35" s="23">
        <v>0</v>
      </c>
      <c r="E35" s="1" t="s">
        <v>40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>
      <c r="A36" s="1" t="s">
        <v>74</v>
      </c>
      <c r="B36" s="1">
        <v>21008</v>
      </c>
      <c r="C36" s="1" t="s">
        <v>39</v>
      </c>
      <c r="D36" s="23">
        <v>0</v>
      </c>
      <c r="E36" s="1" t="s">
        <v>40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>
      <c r="A37" s="1" t="s">
        <v>75</v>
      </c>
      <c r="B37" s="1">
        <v>21010</v>
      </c>
      <c r="C37" s="1" t="s">
        <v>39</v>
      </c>
      <c r="D37" s="23">
        <v>0</v>
      </c>
      <c r="E37" s="1" t="s">
        <v>40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>
      <c r="A38" s="1" t="s">
        <v>76</v>
      </c>
      <c r="B38" s="1">
        <v>21012</v>
      </c>
      <c r="C38" s="1" t="s">
        <v>39</v>
      </c>
      <c r="D38" s="23">
        <v>0</v>
      </c>
      <c r="E38" s="1" t="s">
        <v>40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>
      <c r="A39" s="1" t="s">
        <v>77</v>
      </c>
      <c r="B39" s="1">
        <v>21014</v>
      </c>
      <c r="C39" s="1" t="s">
        <v>39</v>
      </c>
      <c r="D39" s="23">
        <v>0</v>
      </c>
      <c r="E39" s="1" t="s">
        <v>40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>
      <c r="A40" s="1" t="s">
        <v>78</v>
      </c>
      <c r="B40" s="1">
        <v>21016</v>
      </c>
      <c r="C40" s="1" t="s">
        <v>39</v>
      </c>
      <c r="D40" s="23">
        <v>0</v>
      </c>
      <c r="E40" s="1" t="s">
        <v>40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ht="76.5">
      <c r="G41" s="1" t="s">
        <v>79</v>
      </c>
      <c r="H41" s="43">
        <f>SUMIFS(H2:H40, H2:H40, "&gt;20")</f>
        <v>1473.0000000000002</v>
      </c>
    </row>
  </sheetData>
  <conditionalFormatting sqref="A2:X40">
    <cfRule type="cellIs" dxfId="1" priority="3" operator="equal">
      <formula>-1</formula>
    </cfRule>
  </conditionalFormatting>
  <conditionalFormatting sqref="A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80</v>
      </c>
      <c r="B1" s="4" t="s">
        <v>81</v>
      </c>
      <c r="C1" s="4" t="s">
        <v>82</v>
      </c>
      <c r="E1" s="4" t="s">
        <v>83</v>
      </c>
    </row>
    <row r="2" spans="1:5">
      <c r="A2" s="2"/>
      <c r="B2" s="5" t="s">
        <v>84</v>
      </c>
      <c r="C2" s="2"/>
    </row>
    <row r="3" spans="1:5">
      <c r="A3" s="6">
        <v>1</v>
      </c>
      <c r="B3" s="2" t="s">
        <v>85</v>
      </c>
      <c r="C3" s="2" t="s">
        <v>86</v>
      </c>
      <c r="E3" s="1">
        <v>5</v>
      </c>
    </row>
    <row r="4" spans="1:5">
      <c r="A4" s="6">
        <v>2</v>
      </c>
      <c r="B4" s="2" t="s">
        <v>87</v>
      </c>
      <c r="C4" s="2"/>
      <c r="E4" s="1">
        <v>5</v>
      </c>
    </row>
    <row r="5" spans="1:5">
      <c r="A5" s="6">
        <v>3</v>
      </c>
      <c r="B5" s="2" t="s">
        <v>88</v>
      </c>
      <c r="C5" s="33" t="s">
        <v>89</v>
      </c>
      <c r="E5" s="1">
        <v>10</v>
      </c>
    </row>
    <row r="6" spans="1:5">
      <c r="A6" s="6">
        <v>4</v>
      </c>
      <c r="B6" s="2" t="s">
        <v>90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8" zoomScaleNormal="100" workbookViewId="0">
      <selection activeCell="B30" sqref="B30:F30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>
      <c r="A1" s="41" t="s">
        <v>9</v>
      </c>
      <c r="B1" s="40" t="s">
        <v>91</v>
      </c>
    </row>
    <row r="2" spans="1:7" s="40" customFormat="1" ht="21">
      <c r="B2" s="40" t="s">
        <v>92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7" t="s">
        <v>93</v>
      </c>
      <c r="B4" s="1"/>
      <c r="C4" s="1"/>
      <c r="D4" s="1"/>
      <c r="E4" s="1"/>
      <c r="F4" s="1"/>
      <c r="G4" s="1"/>
    </row>
    <row r="5" spans="1:7" ht="15">
      <c r="A5" s="19" t="s">
        <v>14</v>
      </c>
      <c r="B5" s="20" t="s">
        <v>20</v>
      </c>
      <c r="C5" s="21" t="s">
        <v>27</v>
      </c>
      <c r="D5" s="20" t="s">
        <v>31</v>
      </c>
      <c r="E5" s="21" t="s">
        <v>33</v>
      </c>
      <c r="F5" s="22" t="s">
        <v>35</v>
      </c>
    </row>
    <row r="6" spans="1:7" ht="15">
      <c r="A6" s="7" t="s">
        <v>38</v>
      </c>
      <c r="B6" s="11">
        <f>IFERROR(INDEX(Dataset!$G$2:$G$40, MATCH($A6, Dataset!$A$2:$A$40, 0)), "")</f>
        <v>2.7</v>
      </c>
      <c r="C6" s="11">
        <f>IFERROR(INDEX(Dataset!$N$2:$N$40, MATCH($A6, Dataset!$A$2:$A$40, 0)), "")</f>
        <v>7.6</v>
      </c>
      <c r="D6" s="11">
        <f>IFERROR(INDEX(Dataset!$R$2:$R$40, MATCH($A6, Dataset!$A$2:$A$40, 0)), "")</f>
        <v>4.2</v>
      </c>
      <c r="E6" s="11">
        <f>IFERROR(INDEX(Dataset!$T$2:$T$40, MATCH($A6, Dataset!$A$2:$A$40, 0)), "")</f>
        <v>8.9</v>
      </c>
      <c r="F6" s="8">
        <f>IFERROR(INDEX(Dataset!$V$2:$V$40, MATCH($A6, Dataset!$A$2:$A$40, 0)), "")</f>
        <v>4.2</v>
      </c>
    </row>
    <row r="7" spans="1:7" ht="15">
      <c r="A7" s="7" t="s">
        <v>41</v>
      </c>
      <c r="B7" s="11">
        <f>IFERROR(INDEX(Dataset!$G$2:$G$40, MATCH($A7, Dataset!$A$2:$A$40, 0)), "")</f>
        <v>2.7</v>
      </c>
      <c r="C7" s="11">
        <f>IFERROR(INDEX(Dataset!$N$2:$N$40, MATCH($A7, Dataset!$A$2:$A$40, 0)), "")</f>
        <v>7.6</v>
      </c>
      <c r="D7" s="11">
        <f>IFERROR(INDEX(Dataset!$R$2:$R$40, MATCH($A7, Dataset!$A$2:$A$40, 0)), "")</f>
        <v>4.2</v>
      </c>
      <c r="E7" s="11">
        <f>IFERROR(INDEX(Dataset!$T$2:$T$40, MATCH($A7, Dataset!$A$2:$A$40, 0)), "")</f>
        <v>8.9</v>
      </c>
      <c r="F7" s="8">
        <f>IFERROR(INDEX(Dataset!$V$2:$V$40, MATCH($A7, Dataset!$A$2:$A$40, 0)), "")</f>
        <v>4.2</v>
      </c>
    </row>
    <row r="8" spans="1:7" ht="15">
      <c r="A8" s="7" t="s">
        <v>42</v>
      </c>
      <c r="B8" s="11">
        <f>IFERROR(INDEX(Dataset!$G$2:$G$40, MATCH($A8, Dataset!$A$2:$A$40, 0)), "")</f>
        <v>3.6</v>
      </c>
      <c r="C8" s="11">
        <f>IFERROR(INDEX(Dataset!$N$2:$N$40, MATCH($A8, Dataset!$A$2:$A$40, 0)), "")</f>
        <v>11.1</v>
      </c>
      <c r="D8" s="11">
        <f>IFERROR(INDEX(Dataset!$R$2:$R$40, MATCH($A8, Dataset!$A$2:$A$40, 0)), "")</f>
        <v>5.8</v>
      </c>
      <c r="E8" s="11">
        <f>IFERROR(INDEX(Dataset!$T$2:$T$40, MATCH($A8, Dataset!$A$2:$A$40, 0)), "")</f>
        <v>12.2</v>
      </c>
      <c r="F8" s="8">
        <f>IFERROR(INDEX(Dataset!$V$2:$V$40, MATCH($A8, Dataset!$A$2:$A$40, 0)), "")</f>
        <v>5.8</v>
      </c>
    </row>
    <row r="9" spans="1:7" ht="15">
      <c r="A9" s="7" t="s">
        <v>43</v>
      </c>
      <c r="B9" s="11">
        <f>IFERROR(INDEX(Dataset!$G$2:$G$40, MATCH($A9, Dataset!$A$2:$A$40, 0)), "")</f>
        <v>4.9000000000000004</v>
      </c>
      <c r="C9" s="11">
        <f>IFERROR(INDEX(Dataset!$N$2:$N$40, MATCH($A9, Dataset!$A$2:$A$40, 0)), "")</f>
        <v>13.3</v>
      </c>
      <c r="D9" s="11">
        <f>IFERROR(INDEX(Dataset!$R$2:$R$40, MATCH($A9, Dataset!$A$2:$A$40, 0)), "")</f>
        <v>8.1</v>
      </c>
      <c r="E9" s="11">
        <f>IFERROR(INDEX(Dataset!$T$2:$T$40, MATCH($A9, Dataset!$A$2:$A$40, 0)), "")</f>
        <v>17</v>
      </c>
      <c r="F9" s="8">
        <f>IFERROR(INDEX(Dataset!$V$2:$V$40, MATCH($A9, Dataset!$A$2:$A$40, 0)), "")</f>
        <v>8.1</v>
      </c>
    </row>
    <row r="10" spans="1:7" ht="15">
      <c r="A10" s="7" t="s">
        <v>46</v>
      </c>
      <c r="B10" s="11">
        <f>IFERROR(INDEX(Dataset!$G$2:$G$40, MATCH($A10, Dataset!$A$2:$A$40, 0)), "")</f>
        <v>9.4</v>
      </c>
      <c r="C10" s="11">
        <f>IFERROR(INDEX(Dataset!$N$2:$N$40, MATCH($A10, Dataset!$A$2:$A$40, 0)), "")</f>
        <v>28.3</v>
      </c>
      <c r="D10" s="11">
        <f>IFERROR(INDEX(Dataset!$R$2:$R$40, MATCH($A10, Dataset!$A$2:$A$40, 0)), "")</f>
        <v>16.100000000000001</v>
      </c>
      <c r="E10" s="11">
        <f>IFERROR(INDEX(Dataset!$T$2:$T$40, MATCH($A10, Dataset!$A$2:$A$40, 0)), "")</f>
        <v>32.799999999999997</v>
      </c>
      <c r="F10" s="8">
        <f>IFERROR(INDEX(Dataset!$V$2:$V$40, MATCH($A10, Dataset!$A$2:$A$40, 0)), "")</f>
        <v>16.100000000000001</v>
      </c>
    </row>
    <row r="11" spans="1:7" ht="15">
      <c r="A11" s="7" t="s">
        <v>47</v>
      </c>
      <c r="B11" s="11">
        <f>IFERROR(INDEX(Dataset!$G$2:$G$40, MATCH($A11, Dataset!$A$2:$A$40, 0)), "")</f>
        <v>11.6</v>
      </c>
      <c r="C11" s="11">
        <f>IFERROR(INDEX(Dataset!$N$2:$N$40, MATCH($A11, Dataset!$A$2:$A$40, 0)), "")</f>
        <v>35.200000000000003</v>
      </c>
      <c r="D11" s="11">
        <f>IFERROR(INDEX(Dataset!$R$2:$R$40, MATCH($A11, Dataset!$A$2:$A$40, 0)), "")</f>
        <v>21.3</v>
      </c>
      <c r="E11" s="11">
        <f>IFERROR(INDEX(Dataset!$T$2:$T$40, MATCH($A11, Dataset!$A$2:$A$40, 0)), "")</f>
        <v>43</v>
      </c>
      <c r="F11" s="8">
        <f>IFERROR(INDEX(Dataset!$V$2:$V$40, MATCH($A11, Dataset!$A$2:$A$40, 0)), "")</f>
        <v>21.3</v>
      </c>
    </row>
    <row r="12" spans="1:7" ht="15">
      <c r="A12" s="7" t="s">
        <v>49</v>
      </c>
      <c r="B12" s="11">
        <f>IFERROR(INDEX(Dataset!$G$2:$G$40, MATCH($A12, Dataset!$A$2:$A$40, 0)), "")</f>
        <v>18.399999999999999</v>
      </c>
      <c r="C12" s="11">
        <f>IFERROR(INDEX(Dataset!$N$2:$N$40, MATCH($A12, Dataset!$A$2:$A$40, 0)), "")</f>
        <v>55.6</v>
      </c>
      <c r="D12" s="11">
        <f>IFERROR(INDEX(Dataset!$R$2:$R$40, MATCH($A12, Dataset!$A$2:$A$40, 0)), "")</f>
        <v>33.799999999999997</v>
      </c>
      <c r="E12" s="11">
        <f>IFERROR(INDEX(Dataset!$T$2:$T$40, MATCH($A12, Dataset!$A$2:$A$40, 0)), "")</f>
        <v>67.900000000000006</v>
      </c>
      <c r="F12" s="8">
        <f>IFERROR(INDEX(Dataset!$V$2:$V$40, MATCH($A12, Dataset!$A$2:$A$40, 0)), "")</f>
        <v>33.799999999999997</v>
      </c>
    </row>
    <row r="13" spans="1:7" ht="15">
      <c r="A13" s="7" t="s">
        <v>50</v>
      </c>
      <c r="B13" s="11">
        <f>IFERROR(INDEX(Dataset!$G$2:$G$40, MATCH($A13, Dataset!$A$2:$A$40, 0)), "")</f>
        <v>0</v>
      </c>
      <c r="C13" s="11">
        <f>IFERROR(INDEX(Dataset!$N$2:$N$40, MATCH($A13, Dataset!$A$2:$A$40, 0)), "")</f>
        <v>0</v>
      </c>
      <c r="D13" s="11">
        <f>IFERROR(INDEX(Dataset!$R$2:$R$40, MATCH($A13, Dataset!$A$2:$A$40, 0)), "")</f>
        <v>0</v>
      </c>
      <c r="E13" s="11">
        <f>IFERROR(INDEX(Dataset!$T$2:$T$40, MATCH($A13, Dataset!$A$2:$A$40, 0)), "")</f>
        <v>0</v>
      </c>
      <c r="F13" s="8">
        <f>IFERROR(INDEX(Dataset!$V$2:$V$40, MATCH($A13, Dataset!$A$2:$A$40, 0)), "")</f>
        <v>0</v>
      </c>
    </row>
    <row r="14" spans="1:7" ht="15">
      <c r="A14" s="7" t="s">
        <v>51</v>
      </c>
      <c r="B14" s="11">
        <f>IFERROR(INDEX(Dataset!$G$2:$G$40, MATCH($A14, Dataset!$A$2:$A$40, 0)), "")</f>
        <v>21.9</v>
      </c>
      <c r="C14" s="11">
        <f>IFERROR(INDEX(Dataset!$N$2:$N$40, MATCH($A14, Dataset!$A$2:$A$40, 0)), "")</f>
        <v>61.5</v>
      </c>
      <c r="D14" s="11">
        <f>IFERROR(INDEX(Dataset!$R$2:$R$40, MATCH($A14, Dataset!$A$2:$A$40, 0)), "")</f>
        <v>40.1</v>
      </c>
      <c r="E14" s="11">
        <f>IFERROR(INDEX(Dataset!$T$2:$T$40, MATCH($A14, Dataset!$A$2:$A$40, 0)), "")</f>
        <v>76.599999999999994</v>
      </c>
      <c r="F14" s="8">
        <f>IFERROR(INDEX(Dataset!$V$2:$V$40, MATCH($A14, Dataset!$A$2:$A$40, 0)), "")</f>
        <v>40.1</v>
      </c>
    </row>
    <row r="15" spans="1:7" ht="15">
      <c r="A15" s="7" t="s">
        <v>53</v>
      </c>
      <c r="B15" s="11">
        <f>IFERROR(INDEX(Dataset!$G$2:$G$40, MATCH($A15, Dataset!$A$2:$A$40, 0)), "")</f>
        <v>26.8</v>
      </c>
      <c r="C15" s="11">
        <f>IFERROR(INDEX(Dataset!$N$2:$N$40, MATCH($A15, Dataset!$A$2:$A$40, 0)), "")</f>
        <v>79.599999999999994</v>
      </c>
      <c r="D15" s="11">
        <f>IFERROR(INDEX(Dataset!$R$2:$R$40, MATCH($A15, Dataset!$A$2:$A$40, 0)), "")</f>
        <v>47.9</v>
      </c>
      <c r="E15" s="11">
        <f>IFERROR(INDEX(Dataset!$T$2:$T$40, MATCH($A15, Dataset!$A$2:$A$40, 0)), "")</f>
        <v>96.8</v>
      </c>
      <c r="F15" s="8">
        <f>IFERROR(INDEX(Dataset!$V$2:$V$40, MATCH($A15, Dataset!$A$2:$A$40, 0)), "")</f>
        <v>47.9</v>
      </c>
    </row>
    <row r="16" spans="1:7" ht="15">
      <c r="A16" s="7" t="s">
        <v>55</v>
      </c>
      <c r="B16" s="11">
        <f>IFERROR(INDEX(Dataset!$G$2:$G$40, MATCH($A16, Dataset!$A$2:$A$40, 0)), "")</f>
        <v>28.5</v>
      </c>
      <c r="C16" s="11">
        <f>IFERROR(INDEX(Dataset!$N$2:$N$40, MATCH($A16, Dataset!$A$2:$A$40, 0)), "")</f>
        <v>85.4</v>
      </c>
      <c r="D16" s="11">
        <f>IFERROR(INDEX(Dataset!$R$2:$R$40, MATCH($A16, Dataset!$A$2:$A$40, 0)), "")</f>
        <v>52.3</v>
      </c>
      <c r="E16" s="11">
        <f>IFERROR(INDEX(Dataset!$T$2:$T$40, MATCH($A16, Dataset!$A$2:$A$40, 0)), "")</f>
        <v>106.1</v>
      </c>
      <c r="F16" s="8">
        <f>IFERROR(INDEX(Dataset!$V$2:$V$40, MATCH($A16, Dataset!$A$2:$A$40, 0)), "")</f>
        <v>52.3</v>
      </c>
    </row>
    <row r="17" spans="1:6" ht="15">
      <c r="A17" s="7" t="s">
        <v>57</v>
      </c>
      <c r="B17" s="11">
        <f>IFERROR(INDEX(Dataset!$G$2:$G$40, MATCH($A17, Dataset!$A$2:$A$40, 0)), "")</f>
        <v>30.7</v>
      </c>
      <c r="C17" s="11">
        <f>IFERROR(INDEX(Dataset!$N$2:$N$40, MATCH($A17, Dataset!$A$2:$A$40, 0)), "")</f>
        <v>92.1</v>
      </c>
      <c r="D17" s="11">
        <f>IFERROR(INDEX(Dataset!$R$2:$R$40, MATCH($A17, Dataset!$A$2:$A$40, 0)), "")</f>
        <v>57</v>
      </c>
      <c r="E17" s="11">
        <f>IFERROR(INDEX(Dataset!$T$2:$T$40, MATCH($A17, Dataset!$A$2:$A$40, 0)), "")</f>
        <v>115.1</v>
      </c>
      <c r="F17" s="8">
        <f>IFERROR(INDEX(Dataset!$V$2:$V$40, MATCH($A17, Dataset!$A$2:$A$40, 0)), "")</f>
        <v>57</v>
      </c>
    </row>
    <row r="18" spans="1:6" ht="15">
      <c r="A18" s="7" t="s">
        <v>58</v>
      </c>
      <c r="B18" s="11">
        <f>IFERROR(INDEX(Dataset!$G$2:$G$40, MATCH($A18, Dataset!$A$2:$A$40, 0)), "")</f>
        <v>33.799999999999997</v>
      </c>
      <c r="C18" s="11">
        <f>IFERROR(INDEX(Dataset!$N$2:$N$40, MATCH($A18, Dataset!$A$2:$A$40, 0)), "")</f>
        <v>101.3</v>
      </c>
      <c r="D18" s="11">
        <f>IFERROR(INDEX(Dataset!$R$2:$R$40, MATCH($A18, Dataset!$A$2:$A$40, 0)), "")</f>
        <v>61.4</v>
      </c>
      <c r="E18" s="11">
        <f>IFERROR(INDEX(Dataset!$T$2:$T$40, MATCH($A18, Dataset!$A$2:$A$40, 0)), "")</f>
        <v>124.4</v>
      </c>
      <c r="F18" s="8">
        <f>IFERROR(INDEX(Dataset!$V$2:$V$40, MATCH($A18, Dataset!$A$2:$A$40, 0)), "")</f>
        <v>61.4</v>
      </c>
    </row>
    <row r="19" spans="1:6" ht="15">
      <c r="A19" s="7" t="s">
        <v>59</v>
      </c>
      <c r="B19" s="11">
        <f>IFERROR(INDEX(Dataset!$G$2:$G$40, MATCH($A19, Dataset!$A$2:$A$40, 0)), "")</f>
        <v>34.700000000000003</v>
      </c>
      <c r="C19" s="11">
        <f>IFERROR(INDEX(Dataset!$N$2:$N$40, MATCH($A19, Dataset!$A$2:$A$40, 0)), "")</f>
        <v>106.1</v>
      </c>
      <c r="D19" s="11">
        <f>IFERROR(INDEX(Dataset!$R$2:$R$40, MATCH($A19, Dataset!$A$2:$A$40, 0)), "")</f>
        <v>63.6</v>
      </c>
      <c r="E19" s="11">
        <f>IFERROR(INDEX(Dataset!$T$2:$T$40, MATCH($A19, Dataset!$A$2:$A$40, 0)), "")</f>
        <v>128.6</v>
      </c>
      <c r="F19" s="8">
        <f>IFERROR(INDEX(Dataset!$V$2:$V$40, MATCH($A19, Dataset!$A$2:$A$40, 0)), "")</f>
        <v>63.6</v>
      </c>
    </row>
    <row r="20" spans="1:6" ht="15">
      <c r="A20" s="7" t="s">
        <v>64</v>
      </c>
      <c r="B20" s="11">
        <f>IFERROR(INDEX(Dataset!$G$2:$G$40, MATCH($A20, Dataset!$A$2:$A$40, 0)), "")</f>
        <v>0</v>
      </c>
      <c r="C20" s="11">
        <f>IFERROR(INDEX(Dataset!$N$2:$N$40, MATCH($A20, Dataset!$A$2:$A$40, 0)), "")</f>
        <v>0</v>
      </c>
      <c r="D20" s="11">
        <f>IFERROR(INDEX(Dataset!$R$2:$R$40, MATCH($A20, Dataset!$A$2:$A$40, 0)), "")</f>
        <v>0</v>
      </c>
      <c r="E20" s="11">
        <f>IFERROR(INDEX(Dataset!$T$2:$T$40, MATCH($A20, Dataset!$A$2:$A$40, 0)), "")</f>
        <v>0</v>
      </c>
      <c r="F20" s="8">
        <f>IFERROR(INDEX(Dataset!$V$2:$V$40, MATCH($A20, Dataset!$A$2:$A$40, 0)), "")</f>
        <v>0</v>
      </c>
    </row>
    <row r="21" spans="1:6" ht="15">
      <c r="A21" s="7" t="s">
        <v>65</v>
      </c>
      <c r="B21" s="11">
        <f>IFERROR(INDEX(Dataset!$G$2:$G$40, MATCH($A21, Dataset!$A$2:$A$40, 0)), "")</f>
        <v>41.3</v>
      </c>
      <c r="C21" s="11">
        <f>IFERROR(INDEX(Dataset!$N$2:$N$40, MATCH($A21, Dataset!$A$2:$A$40, 0)), "")</f>
        <v>124.4</v>
      </c>
      <c r="D21" s="11">
        <f>IFERROR(INDEX(Dataset!$R$2:$R$40, MATCH($A21, Dataset!$A$2:$A$40, 0)), "")</f>
        <v>75</v>
      </c>
      <c r="E21" s="11">
        <f>IFERROR(INDEX(Dataset!$T$2:$T$40, MATCH($A21, Dataset!$A$2:$A$40, 0)), "")</f>
        <v>151.5</v>
      </c>
      <c r="F21" s="8">
        <f>IFERROR(INDEX(Dataset!$V$2:$V$40, MATCH($A21, Dataset!$A$2:$A$40, 0)), "")</f>
        <v>75</v>
      </c>
    </row>
    <row r="22" spans="1:6" ht="15">
      <c r="A22" s="7" t="s">
        <v>68</v>
      </c>
      <c r="B22" s="11">
        <f>IFERROR(INDEX(Dataset!$G$2:$G$40, MATCH($A22, Dataset!$A$2:$A$40, 0)), "")</f>
        <v>-1</v>
      </c>
      <c r="C22" s="11">
        <f>IFERROR(INDEX(Dataset!$N$2:$N$40, MATCH($A22, Dataset!$A$2:$A$40, 0)), "")</f>
        <v>-1</v>
      </c>
      <c r="D22" s="11">
        <f>IFERROR(INDEX(Dataset!$R$2:$R$40, MATCH($A22, Dataset!$A$2:$A$40, 0)), "")</f>
        <v>-1</v>
      </c>
      <c r="E22" s="11">
        <f>IFERROR(INDEX(Dataset!$T$2:$T$40, MATCH($A22, Dataset!$A$2:$A$40, 0)), "")</f>
        <v>-1</v>
      </c>
      <c r="F22" s="8">
        <f>IFERROR(INDEX(Dataset!$V$2:$V$40, MATCH($A22, Dataset!$A$2:$A$40, 0)), "")</f>
        <v>-1</v>
      </c>
    </row>
    <row r="23" spans="1:6" ht="15">
      <c r="A23" s="7" t="s">
        <v>69</v>
      </c>
      <c r="B23" s="11">
        <f>IFERROR(INDEX(Dataset!$G$2:$G$40, MATCH($A23, Dataset!$A$2:$A$40, 0)), "")</f>
        <v>45</v>
      </c>
      <c r="C23" s="11">
        <f>IFERROR(INDEX(Dataset!$N$2:$N$40, MATCH($A23, Dataset!$A$2:$A$40, 0)), "")</f>
        <v>133.4</v>
      </c>
      <c r="D23" s="11">
        <f>IFERROR(INDEX(Dataset!$R$2:$R$40, MATCH($A23, Dataset!$A$2:$A$40, 0)), "")</f>
        <v>79.400000000000006</v>
      </c>
      <c r="E23" s="11">
        <f>IFERROR(INDEX(Dataset!$T$2:$T$40, MATCH($A23, Dataset!$A$2:$A$40, 0)), "")</f>
        <v>160.9</v>
      </c>
      <c r="F23" s="8">
        <f>IFERROR(INDEX(Dataset!$V$2:$V$40, MATCH($A23, Dataset!$A$2:$A$40, 0)), "")</f>
        <v>79.400000000000006</v>
      </c>
    </row>
    <row r="24" spans="1:6" ht="15">
      <c r="A24" s="7" t="s">
        <v>70</v>
      </c>
      <c r="B24" s="11">
        <f>IFERROR(INDEX(Dataset!$G$2:$G$40, MATCH($A24, Dataset!$A$2:$A$40, 0)), "")</f>
        <v>-1</v>
      </c>
      <c r="C24" s="11">
        <f>IFERROR(INDEX(Dataset!$N$2:$N$40, MATCH($A24, Dataset!$A$2:$A$40, 0)), "")</f>
        <v>-1</v>
      </c>
      <c r="D24" s="11">
        <f>IFERROR(INDEX(Dataset!$R$2:$R$40, MATCH($A24, Dataset!$A$2:$A$40, 0)), "")</f>
        <v>-1</v>
      </c>
      <c r="E24" s="11">
        <f>IFERROR(INDEX(Dataset!$T$2:$T$40, MATCH($A24, Dataset!$A$2:$A$40, 0)), "")</f>
        <v>-1</v>
      </c>
      <c r="F24" s="8">
        <f>IFERROR(INDEX(Dataset!$V$2:$V$40, MATCH($A24, Dataset!$A$2:$A$40, 0)), "")</f>
        <v>-1</v>
      </c>
    </row>
    <row r="25" spans="1:6" ht="15">
      <c r="A25" s="7" t="s">
        <v>72</v>
      </c>
      <c r="B25" s="11">
        <f>IFERROR(INDEX(Dataset!$G$2:$G$40, MATCH($A25, Dataset!$A$2:$A$40, 0)), "")</f>
        <v>43.3</v>
      </c>
      <c r="C25" s="11">
        <f>IFERROR(INDEX(Dataset!$N$2:$N$40, MATCH($A25, Dataset!$A$2:$A$40, 0)), "")</f>
        <v>128.6</v>
      </c>
      <c r="D25" s="11">
        <f>IFERROR(INDEX(Dataset!$R$2:$R$40, MATCH($A25, Dataset!$A$2:$A$40, 0)), "")</f>
        <v>79.400000000000006</v>
      </c>
      <c r="E25" s="11">
        <f>IFERROR(INDEX(Dataset!$T$2:$T$40, MATCH($A25, Dataset!$A$2:$A$40, 0)), "")</f>
        <v>160.9</v>
      </c>
      <c r="F25" s="8">
        <f>IFERROR(INDEX(Dataset!$V$2:$V$40, MATCH($A25, Dataset!$A$2:$A$40, 0)), "")</f>
        <v>79.400000000000006</v>
      </c>
    </row>
    <row r="26" spans="1:6" ht="15">
      <c r="A26" s="7" t="s">
        <v>76</v>
      </c>
      <c r="B26" s="11">
        <f>IFERROR(INDEX(Dataset!$G$2:$G$40, MATCH($A26, Dataset!$A$2:$A$40, 0)), "")</f>
        <v>49.1</v>
      </c>
      <c r="C26" s="11">
        <f>IFERROR(INDEX(Dataset!$N$2:$N$40, MATCH($A26, Dataset!$A$2:$A$40, 0)), "")</f>
        <v>146.80000000000001</v>
      </c>
      <c r="D26" s="11">
        <f>IFERROR(INDEX(Dataset!$R$2:$R$40, MATCH($A26, Dataset!$A$2:$A$40, 0)), "")</f>
        <v>90.9</v>
      </c>
      <c r="E26" s="11">
        <f>IFERROR(INDEX(Dataset!$T$2:$T$40, MATCH($A26, Dataset!$A$2:$A$40, 0)), "")</f>
        <v>183.5</v>
      </c>
      <c r="F26" s="8">
        <f>IFERROR(INDEX(Dataset!$V$2:$V$40, MATCH($A26, Dataset!$A$2:$A$40, 0)), "")</f>
        <v>90.9</v>
      </c>
    </row>
    <row r="27" spans="1:6" ht="15">
      <c r="A27" s="7" t="s">
        <v>78</v>
      </c>
      <c r="B27" s="11">
        <f>IFERROR(INDEX(Dataset!$G$2:$G$40, MATCH($A27, Dataset!$A$2:$A$40, 0)), "")</f>
        <v>51.8</v>
      </c>
      <c r="C27" s="11">
        <f>IFERROR(INDEX(Dataset!$N$2:$N$40, MATCH($A27, Dataset!$A$2:$A$40, 0)), "")</f>
        <v>156.4</v>
      </c>
      <c r="D27" s="11">
        <f>IFERROR(INDEX(Dataset!$R$2:$R$40, MATCH($A27, Dataset!$A$2:$A$40, 0)), "")</f>
        <v>93.1</v>
      </c>
      <c r="E27" s="11">
        <f>IFERROR(INDEX(Dataset!$T$2:$T$40, MATCH($A27, Dataset!$A$2:$A$40, 0)), "")</f>
        <v>188.1</v>
      </c>
      <c r="F27" s="8">
        <f>IFERROR(INDEX(Dataset!$V$2:$V$40, MATCH($A27, Dataset!$A$2:$A$40, 0)), "")</f>
        <v>93.1</v>
      </c>
    </row>
    <row r="28" spans="1:6" ht="15">
      <c r="A28" s="18" t="s">
        <v>94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>
      <c r="A29" s="18" t="s">
        <v>95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>
      <c r="A30" s="18" t="s">
        <v>96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F16" sqref="F16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40" customFormat="1" ht="21">
      <c r="A1" s="41" t="s">
        <v>10</v>
      </c>
      <c r="B1" s="40" t="s">
        <v>97</v>
      </c>
    </row>
    <row r="2" spans="1:10" customFormat="1" ht="12.95"/>
    <row r="3" spans="1:10" s="2" customFormat="1">
      <c r="B3" s="1"/>
    </row>
    <row r="4" spans="1:10" s="2" customFormat="1">
      <c r="B4" s="1" t="s">
        <v>98</v>
      </c>
    </row>
    <row r="5" spans="1:10" ht="18.95">
      <c r="A5" s="42" t="s">
        <v>99</v>
      </c>
      <c r="B5" s="39" t="s">
        <v>100</v>
      </c>
    </row>
    <row r="6" spans="1:10" ht="18.95">
      <c r="A6" s="42" t="s">
        <v>101</v>
      </c>
      <c r="B6" s="39" t="s">
        <v>102</v>
      </c>
    </row>
    <row r="7" spans="1:10" ht="18.95">
      <c r="A7" s="42"/>
      <c r="B7" s="39"/>
    </row>
    <row r="9" spans="1:10" ht="24">
      <c r="A9" s="17" t="s">
        <v>103</v>
      </c>
      <c r="I9" s="2"/>
      <c r="J9" s="2"/>
    </row>
    <row r="10" spans="1:10">
      <c r="A10" s="32" t="s">
        <v>104</v>
      </c>
      <c r="B10" s="16" t="s">
        <v>105</v>
      </c>
      <c r="C10" s="16" t="s">
        <v>106</v>
      </c>
      <c r="D10" s="16" t="s">
        <v>107</v>
      </c>
      <c r="E10" s="16" t="s">
        <v>108</v>
      </c>
      <c r="F10" s="16" t="s">
        <v>109</v>
      </c>
      <c r="I10" s="2"/>
      <c r="J10" s="2"/>
    </row>
    <row r="11" spans="1:10">
      <c r="A11" s="9" t="s">
        <v>110</v>
      </c>
      <c r="B11" s="12">
        <v>20000</v>
      </c>
      <c r="C11" s="12" t="s">
        <v>39</v>
      </c>
      <c r="D11" s="12">
        <v>0</v>
      </c>
      <c r="E11" s="10" t="s">
        <v>40</v>
      </c>
      <c r="F11" s="10">
        <v>24</v>
      </c>
      <c r="I11" s="2"/>
      <c r="J11" s="2"/>
    </row>
    <row r="14" spans="1:10" ht="24">
      <c r="A14" s="17" t="s">
        <v>93</v>
      </c>
    </row>
    <row r="15" spans="1:10">
      <c r="A15" s="13" t="s">
        <v>111</v>
      </c>
      <c r="B15" s="16" t="s">
        <v>105</v>
      </c>
      <c r="C15" s="14" t="s">
        <v>106</v>
      </c>
      <c r="D15" s="16" t="s">
        <v>107</v>
      </c>
      <c r="E15" s="14" t="s">
        <v>108</v>
      </c>
      <c r="F15" s="16" t="s">
        <v>109</v>
      </c>
    </row>
    <row r="16" spans="1:10">
      <c r="A16" s="7" t="s">
        <v>110</v>
      </c>
      <c r="B16" s="11" t="str">
        <f>TRIM(LEFT(A16, FIND("-", A16) - 1))</f>
        <v>20000</v>
      </c>
      <c r="C16" s="1" t="str">
        <f>TRIM(MID(A16, FIND("-", A16) + 1, FIND("-", A16, FIND("-", A16) + 1) - FIND("-", A16) - 1))</f>
        <v>Monday</v>
      </c>
      <c r="D16" s="11" t="str">
        <f>TRIM(MID(A16, FIND("-", A16, FIND("-", A16) + 1) + 1, FIND("-", A16, FIND("-", A16, FIND("-", A16) + 1) + 1) - FIND("-", A16, FIND("-", A16) + 1) - 1))</f>
        <v>0</v>
      </c>
      <c r="E16" s="1" t="str">
        <f>TRIM(MID(A16, FIND("-", A16, FIND("-", A16, FIND("-", A16) + 1) + 1) + 1, FIND("-", A16, FIND("-", A16, FIND("-", A16, FIND("-", A16) + 1) + 1) + 1) - FIND("-", A16, FIND("-", A16, FIND("-", A16) + 1) + 1) - 1))</f>
        <v>Sunday</v>
      </c>
      <c r="F16" s="11" t="str">
        <f>TRIM(MID(A16, FIND("-", A16, FIND("-", A16, FIND("-", A16, FIND("-", A16) + 1) + 1) + 1) + 1, LEN(A16) - FIND("-", A16, FIND("-", A16, FIND("-", A16, FIND("-", A16) + 1) + 1) + 1)))</f>
        <v>24</v>
      </c>
    </row>
    <row r="17" spans="1:6">
      <c r="A17" s="7" t="s">
        <v>112</v>
      </c>
      <c r="B17" s="11" t="str">
        <f t="shared" ref="B17:B54" si="0">TRIM(LEFT(A17, FIND("-", A17) - 1))</f>
        <v>20002</v>
      </c>
      <c r="C17" s="1" t="str">
        <f t="shared" ref="C17:C54" si="1">TRIM(MID(A17, FIND("-", A17) + 1, FIND("-", A17, FIND("-", A17) + 1) - FIND("-", A17) - 1))</f>
        <v>Monday</v>
      </c>
      <c r="D17" s="11" t="str">
        <f t="shared" ref="D17:D54" si="2">TRIM(MID(A17, FIND("-", A17, FIND("-", A17) + 1) + 1, FIND("-", A17, FIND("-", A17, FIND("-", A17) + 1) + 1) - FIND("-", A17, FIND("-", A17) + 1) - 1))</f>
        <v>0</v>
      </c>
      <c r="E17" s="1" t="str">
        <f t="shared" ref="E17:E54" si="3">TRIM(MID(A17, FIND("-", A17, FIND("-", A17, FIND("-", A17) + 1) + 1) + 1, FIND("-", A17, FIND("-", A17, FIND("-", A17, FIND("-", A17) + 1) + 1) + 1) - FIND("-", A17, FIND("-", A17, FIND("-", A17) + 1) + 1) - 1))</f>
        <v>Sunday</v>
      </c>
      <c r="F17" s="11" t="str">
        <f t="shared" ref="F17:F54" si="4">TRIM(MID(A17, FIND("-", A17, FIND("-", A17, FIND("-", A17, FIND("-", A17) + 1) + 1) + 1) + 1, LEN(A17) - FIND("-", A17, FIND("-", A17, FIND("-", A17, FIND("-", A17) + 1) + 1) + 1)))</f>
        <v>24</v>
      </c>
    </row>
    <row r="18" spans="1:6">
      <c r="A18" s="7" t="s">
        <v>113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>
      <c r="A19" s="7" t="s">
        <v>114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>
      <c r="A20" s="7" t="s">
        <v>115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>
      <c r="A21" s="7" t="s">
        <v>116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>
      <c r="A22" s="7" t="s">
        <v>117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>
      <c r="A23" s="7" t="s">
        <v>118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>
      <c r="A24" s="7" t="s">
        <v>119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>
      <c r="A25" s="7" t="s">
        <v>120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>
      <c r="A26" s="7" t="s">
        <v>121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>
      <c r="A27" s="7" t="s">
        <v>122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>
      <c r="A28" s="7" t="s">
        <v>123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>
      <c r="A29" s="7" t="s">
        <v>124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>
      <c r="A30" s="7" t="s">
        <v>125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>
      <c r="A31" s="7" t="s">
        <v>126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>
      <c r="A32" s="7" t="s">
        <v>127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>
      <c r="A33" s="7" t="s">
        <v>128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>
      <c r="A34" s="7" t="s">
        <v>129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>
      <c r="A35" s="7" t="s">
        <v>130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>
      <c r="A36" s="7" t="s">
        <v>131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>
      <c r="A37" s="7" t="s">
        <v>132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>
      <c r="A38" s="7" t="s">
        <v>133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>
      <c r="A39" s="7" t="s">
        <v>134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>
      <c r="A40" s="7" t="s">
        <v>135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>TRIM(MID(A40, FIND("-", A40, FIND("-", A40, FIND("-", A40) + 1) + 1) + 1, FIND("-", A40, FIND("-", A40, FIND("-", A40, FIND("-", A40) + 1) + 1) + 1) - FIND("-", A40, FIND("-", A40, FIND("-", A40) + 1) + 1) - 1))</f>
        <v>Sunday</v>
      </c>
      <c r="F40" s="11" t="str">
        <f t="shared" si="4"/>
        <v>24</v>
      </c>
    </row>
    <row r="41" spans="1:6">
      <c r="A41" s="7" t="s">
        <v>136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>
      <c r="A42" s="7" t="s">
        <v>137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>
      <c r="A43" s="7" t="s">
        <v>138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>
      <c r="A44" s="7" t="s">
        <v>139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>
      <c r="A45" s="7" t="s">
        <v>140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>
      <c r="A46" s="7" t="s">
        <v>141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>
      <c r="A47" s="7" t="s">
        <v>142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>
      <c r="A48" s="7" t="s">
        <v>143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>
      <c r="A49" s="7" t="s">
        <v>144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>
      <c r="A50" s="7" t="s">
        <v>145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>
      <c r="A51" s="7" t="s">
        <v>146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>
      <c r="A52" s="7" t="s">
        <v>147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>
      <c r="A53" s="7" t="s">
        <v>148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>
      <c r="A54" s="9" t="s">
        <v>149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G10" sqref="G10"/>
    </sheetView>
  </sheetViews>
  <sheetFormatPr defaultColWidth="11" defaultRowHeight="14.1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>
      <c r="A1" s="41" t="s">
        <v>11</v>
      </c>
      <c r="B1" s="40" t="s">
        <v>150</v>
      </c>
    </row>
    <row r="2" spans="1:3" ht="18.95">
      <c r="B2" s="39" t="s">
        <v>151</v>
      </c>
    </row>
    <row r="5" spans="1:3" ht="15">
      <c r="B5" s="1" t="s">
        <v>98</v>
      </c>
    </row>
    <row r="6" spans="1:3" ht="15">
      <c r="A6" s="3" t="s">
        <v>99</v>
      </c>
      <c r="B6" s="1" t="s">
        <v>152</v>
      </c>
    </row>
    <row r="7" spans="1:3" ht="15">
      <c r="A7" s="3" t="s">
        <v>101</v>
      </c>
      <c r="B7" s="1" t="s">
        <v>153</v>
      </c>
    </row>
    <row r="10" spans="1:3" ht="24">
      <c r="A10" s="17" t="s">
        <v>93</v>
      </c>
    </row>
    <row r="11" spans="1:3" ht="15">
      <c r="A11" s="31" t="s">
        <v>154</v>
      </c>
      <c r="B11" s="16" t="s">
        <v>155</v>
      </c>
      <c r="C11" s="16" t="s">
        <v>156</v>
      </c>
    </row>
    <row r="12" spans="1:3" ht="15">
      <c r="A12" s="31">
        <v>44927</v>
      </c>
      <c r="B12" s="16" t="s">
        <v>157</v>
      </c>
      <c r="C12" s="16">
        <v>200</v>
      </c>
    </row>
    <row r="13" spans="1:3" ht="15">
      <c r="A13" s="31">
        <v>44928</v>
      </c>
      <c r="B13" s="16" t="s">
        <v>158</v>
      </c>
      <c r="C13" s="16" t="e">
        <v>#N/A</v>
      </c>
    </row>
    <row r="14" spans="1:3" ht="15">
      <c r="A14" s="31">
        <v>44929</v>
      </c>
      <c r="B14" s="16" t="s">
        <v>159</v>
      </c>
      <c r="C14" s="16">
        <v>50</v>
      </c>
    </row>
    <row r="15" spans="1:3" ht="15">
      <c r="A15" s="31">
        <v>44930</v>
      </c>
      <c r="B15" s="16" t="s">
        <v>160</v>
      </c>
      <c r="C15" s="16" t="e">
        <v>#N/A</v>
      </c>
    </row>
    <row r="16" spans="1:3" ht="15">
      <c r="A16" s="31">
        <v>44931</v>
      </c>
      <c r="B16" s="16" t="s">
        <v>161</v>
      </c>
      <c r="C16" s="16">
        <v>10</v>
      </c>
    </row>
    <row r="17" spans="1:3" ht="15">
      <c r="A17" s="31">
        <v>44932</v>
      </c>
      <c r="B17" s="16" t="s">
        <v>162</v>
      </c>
      <c r="C17" s="16">
        <v>150</v>
      </c>
    </row>
    <row r="18" spans="1:3" ht="15">
      <c r="A18" s="31">
        <v>44933</v>
      </c>
      <c r="B18" s="16" t="s">
        <v>163</v>
      </c>
      <c r="C18" s="16">
        <v>80</v>
      </c>
    </row>
    <row r="19" spans="1:3" ht="15">
      <c r="A19" s="31">
        <v>44934</v>
      </c>
      <c r="B19" s="16" t="s">
        <v>164</v>
      </c>
      <c r="C19" s="16" t="e">
        <v>#N/A</v>
      </c>
    </row>
    <row r="20" spans="1:3" ht="15">
      <c r="A20" s="31">
        <v>44935</v>
      </c>
      <c r="B20" s="16" t="s">
        <v>165</v>
      </c>
      <c r="C20" s="16">
        <v>30</v>
      </c>
    </row>
    <row r="21" spans="1:3" ht="15">
      <c r="A21" s="31">
        <v>44936</v>
      </c>
      <c r="B21" s="16" t="s">
        <v>166</v>
      </c>
      <c r="C21" s="16" t="e">
        <v>#N/A</v>
      </c>
    </row>
    <row r="22" spans="1:3" ht="15">
      <c r="B22" s="16" t="s">
        <v>167</v>
      </c>
      <c r="C22" s="46" cm="1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Q8" sqref="Q8"/>
    </sheetView>
  </sheetViews>
  <sheetFormatPr defaultColWidth="11" defaultRowHeight="14.1"/>
  <cols>
    <col min="1" max="1" width="28.1640625" style="2" bestFit="1" customWidth="1"/>
    <col min="2" max="16384" width="11" style="2"/>
  </cols>
  <sheetData>
    <row r="1" spans="1:14" ht="21">
      <c r="A1" s="41" t="s">
        <v>12</v>
      </c>
      <c r="B1" s="40" t="s">
        <v>168</v>
      </c>
    </row>
    <row r="3" spans="1:14" ht="15">
      <c r="B3" s="1" t="s">
        <v>98</v>
      </c>
    </row>
    <row r="4" spans="1:14" ht="18.95">
      <c r="A4" s="42" t="s">
        <v>99</v>
      </c>
      <c r="B4" s="1"/>
      <c r="C4" s="2" t="s">
        <v>169</v>
      </c>
      <c r="H4" s="2" t="s">
        <v>170</v>
      </c>
    </row>
    <row r="5" spans="1:14" ht="18.95">
      <c r="A5" s="42" t="s">
        <v>101</v>
      </c>
      <c r="B5" s="1" t="s">
        <v>171</v>
      </c>
    </row>
    <row r="6" spans="1:14" ht="15">
      <c r="A6" s="3"/>
      <c r="B6" s="1"/>
    </row>
    <row r="8" spans="1:14" ht="23.25">
      <c r="A8" s="17" t="s">
        <v>93</v>
      </c>
      <c r="B8" s="2">
        <v>10100</v>
      </c>
      <c r="C8" s="2">
        <v>10102</v>
      </c>
      <c r="D8" s="2">
        <v>10104</v>
      </c>
      <c r="E8" s="2">
        <v>10106</v>
      </c>
      <c r="F8" s="2">
        <v>10108</v>
      </c>
      <c r="G8" s="2">
        <v>10110</v>
      </c>
      <c r="H8" s="2">
        <v>10112</v>
      </c>
      <c r="I8" s="2">
        <v>10114</v>
      </c>
      <c r="J8" s="2">
        <v>10116</v>
      </c>
      <c r="M8" s="17" t="s">
        <v>172</v>
      </c>
    </row>
    <row r="9" spans="1:14" ht="15">
      <c r="A9" s="25"/>
      <c r="B9" s="25" t="s">
        <v>173</v>
      </c>
      <c r="C9" s="25" t="s">
        <v>174</v>
      </c>
      <c r="D9" s="25" t="s">
        <v>175</v>
      </c>
      <c r="E9" s="25" t="s">
        <v>176</v>
      </c>
      <c r="F9" s="25" t="s">
        <v>177</v>
      </c>
      <c r="G9" s="25" t="s">
        <v>178</v>
      </c>
      <c r="H9" s="25" t="s">
        <v>179</v>
      </c>
      <c r="I9" s="25" t="s">
        <v>180</v>
      </c>
      <c r="J9" s="25" t="s">
        <v>181</v>
      </c>
      <c r="M9" s="18" t="s">
        <v>15</v>
      </c>
      <c r="N9" s="18" t="s">
        <v>182</v>
      </c>
    </row>
    <row r="10" spans="1:14" ht="15">
      <c r="A10" s="25" t="s">
        <v>173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173</v>
      </c>
    </row>
    <row r="11" spans="1:14" ht="15">
      <c r="A11" s="25" t="s">
        <v>174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174</v>
      </c>
    </row>
    <row r="12" spans="1:14" ht="15">
      <c r="A12" s="25" t="s">
        <v>175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175</v>
      </c>
    </row>
    <row r="13" spans="1:14" ht="15">
      <c r="A13" s="25" t="s">
        <v>176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176</v>
      </c>
    </row>
    <row r="14" spans="1:14" ht="15">
      <c r="A14" s="25" t="s">
        <v>177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177</v>
      </c>
    </row>
    <row r="15" spans="1:14" ht="15">
      <c r="A15" s="25" t="s">
        <v>178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178</v>
      </c>
    </row>
    <row r="16" spans="1:14" ht="15">
      <c r="A16" s="25" t="s">
        <v>179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179</v>
      </c>
    </row>
    <row r="17" spans="1:14" ht="15">
      <c r="A17" s="25" t="s">
        <v>180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180</v>
      </c>
    </row>
    <row r="18" spans="1:14" ht="15">
      <c r="A18" s="25" t="s">
        <v>181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181</v>
      </c>
    </row>
    <row r="21" spans="1:14" ht="24">
      <c r="A21" s="17" t="s">
        <v>183</v>
      </c>
    </row>
    <row r="22" spans="1:14" ht="15">
      <c r="A22" s="13" t="s">
        <v>184</v>
      </c>
      <c r="B22" s="16" t="s">
        <v>185</v>
      </c>
      <c r="C22" s="15" t="s">
        <v>104</v>
      </c>
      <c r="D22" s="2" t="s">
        <v>186</v>
      </c>
    </row>
    <row r="23" spans="1:14" ht="15">
      <c r="A23" s="7">
        <v>10100</v>
      </c>
      <c r="B23" s="11">
        <v>10102</v>
      </c>
      <c r="C23" s="47"/>
      <c r="D23" s="2" t="str">
        <f t="shared" ref="D23:D35" si="0">A23 &amp; "," &amp; B23</f>
        <v>10100,10102</v>
      </c>
      <c r="F23" s="2" t="s">
        <v>187</v>
      </c>
    </row>
    <row r="24" spans="1:14" ht="15">
      <c r="A24" s="7">
        <v>10100</v>
      </c>
      <c r="B24" s="11">
        <v>10104</v>
      </c>
      <c r="C24" s="47"/>
      <c r="D24" s="2" t="str">
        <f t="shared" si="0"/>
        <v>10100,10104</v>
      </c>
      <c r="F24" s="2" t="s">
        <v>188</v>
      </c>
      <c r="H24" s="2" t="s">
        <v>173</v>
      </c>
    </row>
    <row r="25" spans="1:14" ht="15">
      <c r="A25" s="7">
        <v>10108</v>
      </c>
      <c r="B25" s="11">
        <v>10102</v>
      </c>
      <c r="C25" s="47"/>
      <c r="D25" s="2" t="str">
        <f t="shared" si="0"/>
        <v>10108,10102</v>
      </c>
      <c r="F25" s="2" t="s">
        <v>189</v>
      </c>
      <c r="H25" s="2" t="s">
        <v>174</v>
      </c>
    </row>
    <row r="26" spans="1:14" ht="15">
      <c r="A26" s="7">
        <v>10100</v>
      </c>
      <c r="B26" s="11">
        <v>10106</v>
      </c>
      <c r="C26" s="47"/>
      <c r="D26" s="2" t="str">
        <f t="shared" si="0"/>
        <v>10100,10106</v>
      </c>
      <c r="F26" s="48" t="s">
        <v>190</v>
      </c>
      <c r="G26" s="48"/>
      <c r="H26" s="48">
        <f>INDEX(B10:J18,MATCH(H24,A10:A18,0),MATCH(H25,B9:J9,0))</f>
        <v>95</v>
      </c>
    </row>
    <row r="27" spans="1:14" ht="15">
      <c r="A27" s="7">
        <v>10108</v>
      </c>
      <c r="B27" s="11">
        <v>10110</v>
      </c>
      <c r="C27" s="47"/>
      <c r="D27" s="2" t="str">
        <f t="shared" si="0"/>
        <v>10108,10110</v>
      </c>
    </row>
    <row r="28" spans="1:14" ht="15">
      <c r="A28" s="7">
        <v>10102</v>
      </c>
      <c r="B28" s="11">
        <v>10104</v>
      </c>
      <c r="C28" s="47"/>
      <c r="D28" s="2" t="str">
        <f t="shared" si="0"/>
        <v>10102,10104</v>
      </c>
    </row>
    <row r="29" spans="1:14" ht="15">
      <c r="A29" s="7">
        <v>10106</v>
      </c>
      <c r="B29" s="11">
        <v>10108</v>
      </c>
      <c r="C29" s="47"/>
      <c r="D29" s="2" t="str">
        <f t="shared" si="0"/>
        <v>10106,10108</v>
      </c>
    </row>
    <row r="30" spans="1:14" ht="15">
      <c r="A30" s="7">
        <v>10102</v>
      </c>
      <c r="B30" s="11">
        <v>10106</v>
      </c>
      <c r="C30" s="47"/>
      <c r="D30" s="2" t="str">
        <f t="shared" si="0"/>
        <v>10102,10106</v>
      </c>
    </row>
    <row r="31" spans="1:14" ht="15">
      <c r="A31" s="7">
        <v>10110</v>
      </c>
      <c r="B31" s="11">
        <v>10114</v>
      </c>
      <c r="C31" s="47"/>
      <c r="D31" s="2" t="str">
        <f t="shared" si="0"/>
        <v>10110,10114</v>
      </c>
    </row>
    <row r="32" spans="1:14" ht="15">
      <c r="A32" s="7">
        <v>10104</v>
      </c>
      <c r="B32" s="11">
        <v>10106</v>
      </c>
      <c r="C32" s="47"/>
      <c r="D32" s="2" t="str">
        <f t="shared" si="0"/>
        <v>10104,10106</v>
      </c>
    </row>
    <row r="33" spans="1:4" ht="15">
      <c r="A33" s="7">
        <v>10110</v>
      </c>
      <c r="B33" s="11">
        <v>10112</v>
      </c>
      <c r="C33" s="47"/>
      <c r="D33" s="2" t="str">
        <f t="shared" si="0"/>
        <v>10110,10112</v>
      </c>
    </row>
    <row r="34" spans="1:4" ht="15">
      <c r="A34" s="7">
        <v>10100</v>
      </c>
      <c r="B34" s="11">
        <v>10114</v>
      </c>
      <c r="C34" s="47"/>
      <c r="D34" s="2" t="str">
        <f t="shared" si="0"/>
        <v>10100,10114</v>
      </c>
    </row>
    <row r="35" spans="1:4" ht="15">
      <c r="A35" s="9">
        <v>10112</v>
      </c>
      <c r="B35" s="12">
        <v>10116</v>
      </c>
      <c r="C35" s="47"/>
      <c r="D35" s="2" t="str">
        <f t="shared" si="0"/>
        <v>10112,10116</v>
      </c>
    </row>
  </sheetData>
  <dataValidations count="2">
    <dataValidation type="list" allowBlank="1" showInputMessage="1" showErrorMessage="1" sqref="B39 H23:H24" xr:uid="{3575402C-AB53-4347-9269-287F9AF20A62}">
      <formula1>$A$10:$A$18</formula1>
    </dataValidation>
    <dataValidation type="list" allowBlank="1" showInputMessage="1" showErrorMessage="1" sqref="B40 H25" xr:uid="{34ED6A18-2377-4F2E-928E-6B217C4FC930}">
      <formula1>$B$9:$J$9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941D7-B175-4499-A7AF-F1682B150481}">
  <dimension ref="IGG554150:WGX977654"/>
  <sheetViews>
    <sheetView workbookViewId="0"/>
  </sheetViews>
  <sheetFormatPr defaultRowHeight="12.75"/>
  <sheetData>
    <row r="554150" spans="11718:11718">
      <c r="QHR554150" t="s">
        <v>191</v>
      </c>
    </row>
    <row r="939490" spans="15754:15754">
      <c r="WGX939490" t="s">
        <v>192</v>
      </c>
    </row>
    <row r="945422" spans="6273:6273">
      <c r="IGG945422" t="s">
        <v>193</v>
      </c>
    </row>
    <row r="977654" spans="10427:10427">
      <c r="OKA977654" t="s">
        <v>194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>Sourabh Bainsla_20703715</cp:lastModifiedBy>
  <cp:revision/>
  <dcterms:created xsi:type="dcterms:W3CDTF">2015-02-10T17:33:11Z</dcterms:created>
  <dcterms:modified xsi:type="dcterms:W3CDTF">2023-12-10T09:08:53Z</dcterms:modified>
  <cp:category/>
  <cp:contentStatus/>
</cp:coreProperties>
</file>